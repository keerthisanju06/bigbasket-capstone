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rja\Documents\BigBasket-Capstone\"/>
    </mc:Choice>
  </mc:AlternateContent>
  <xr:revisionPtr revIDLastSave="0" documentId="8_{1B1F6CA9-8E0B-4FA9-9845-9CC3D55FCDEF}" xr6:coauthVersionLast="47" xr6:coauthVersionMax="47" xr10:uidLastSave="{00000000-0000-0000-0000-000000000000}"/>
  <bookViews>
    <workbookView xWindow="-108" yWindow="-108" windowWidth="23256" windowHeight="12456" activeTab="3" xr2:uid="{7B6DE3D6-2BB3-4926-AD67-96030B51114C}"/>
  </bookViews>
  <sheets>
    <sheet name="monthly data" sheetId="1" r:id="rId1"/>
    <sheet name="Targets" sheetId="6" r:id="rId2"/>
    <sheet name="pivot table" sheetId="7" r:id="rId3"/>
    <sheet name="bigbasket_category_analysis.xls" sheetId="8" r:id="rId4"/>
  </sheets>
  <calcPr calcId="0"/>
  <pivotCaches>
    <pivotCache cacheId="7" r:id="rId5"/>
  </pivotCaches>
</workbook>
</file>

<file path=xl/calcChain.xml><?xml version="1.0" encoding="utf-8"?>
<calcChain xmlns="http://schemas.openxmlformats.org/spreadsheetml/2006/main">
  <c r="F2" i="8" l="1"/>
  <c r="G3" i="8"/>
  <c r="G4" i="8"/>
  <c r="G5" i="8"/>
  <c r="G6" i="8"/>
  <c r="G7" i="8"/>
  <c r="G2" i="8"/>
  <c r="F3" i="8"/>
  <c r="F4" i="8"/>
  <c r="F5" i="8"/>
  <c r="F6" i="8"/>
  <c r="F7" i="8"/>
  <c r="E3" i="8"/>
  <c r="E4" i="8"/>
  <c r="E5" i="8"/>
  <c r="E6" i="8"/>
  <c r="E7" i="8"/>
  <c r="E2" i="8"/>
  <c r="D3" i="8"/>
  <c r="D4" i="8"/>
  <c r="D5" i="8"/>
  <c r="D6" i="8"/>
  <c r="D7" i="8"/>
  <c r="D2" i="8"/>
  <c r="C3" i="8" a="1"/>
  <c r="C3" i="8" s="1"/>
  <c r="C4" i="8" a="1"/>
  <c r="C4" i="8" s="1"/>
  <c r="C5" i="8" a="1"/>
  <c r="C5" i="8"/>
  <c r="C6" i="8" a="1"/>
  <c r="C6" i="8"/>
  <c r="C7" i="8" a="1"/>
  <c r="C7" i="8"/>
  <c r="C2" i="8" a="1"/>
  <c r="C2" i="8" s="1"/>
  <c r="B3" i="8"/>
  <c r="B4" i="8"/>
  <c r="B5" i="8"/>
  <c r="B6" i="8"/>
  <c r="B7" i="8"/>
  <c r="B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<sst xmlns="http://schemas.openxmlformats.org/spreadsheetml/2006/main" count="115" uniqueCount="35">
  <si>
    <t>category</t>
  </si>
  <si>
    <t>month</t>
  </si>
  <si>
    <t>order_count</t>
  </si>
  <si>
    <t>total_revenue</t>
  </si>
  <si>
    <t>avg_revenue</t>
  </si>
  <si>
    <t>Bakery</t>
  </si>
  <si>
    <t>2026-01</t>
  </si>
  <si>
    <t>2026-02</t>
  </si>
  <si>
    <t>2026-03</t>
  </si>
  <si>
    <t>2026-04</t>
  </si>
  <si>
    <t>2026-05</t>
  </si>
  <si>
    <t>2026-06</t>
  </si>
  <si>
    <t>Dairy &amp; Eggs</t>
  </si>
  <si>
    <t>Fruits &amp; Vegetables</t>
  </si>
  <si>
    <t>Household Essentials</t>
  </si>
  <si>
    <t>Personal Care</t>
  </si>
  <si>
    <t>Snacks &amp; Beverages</t>
  </si>
  <si>
    <t>target_revenue_inr</t>
  </si>
  <si>
    <t>Row Labels</t>
  </si>
  <si>
    <t>Grand Total</t>
  </si>
  <si>
    <t>Sum of total_revenue</t>
  </si>
  <si>
    <t>Sum of order_count</t>
  </si>
  <si>
    <t>Category</t>
  </si>
  <si>
    <t>Total Revenue</t>
  </si>
  <si>
    <t>Target</t>
  </si>
  <si>
    <t>Variance</t>
  </si>
  <si>
    <t>Matches Part 1 SQL total?</t>
  </si>
  <si>
    <t>% Variance</t>
  </si>
  <si>
    <t xml:space="preserve"> Target Status</t>
  </si>
  <si>
    <t xml:space="preserve">Fruits &amp; Vegetables     </t>
  </si>
  <si>
    <t xml:space="preserve">Household Essentials   </t>
  </si>
  <si>
    <t xml:space="preserve">Personal Care          </t>
  </si>
  <si>
    <t xml:space="preserve">Snacks &amp; Beverages </t>
  </si>
  <si>
    <t>lookup_category</t>
  </si>
  <si>
    <t xml:space="preserve">Bakery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</si>
</sst>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na durjati" refreshedDate="46280.62340034722" createdVersion="8" refreshedVersion="8" minRefreshableVersion="3" recordCount="36" xr:uid="{2D03BC2B-5E18-4972-9B50-8352824548DB}">
  <cacheSource type="worksheet">
    <worksheetSource ref="A1:E37" sheet="monthly data"/>
  </cacheSource>
  <cacheFields count="5">
    <cacheField name="category" numFmtId="0">
      <sharedItems count="6"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0">
      <sharedItems/>
    </cacheField>
    <cacheField name="order_count" numFmtId="0">
      <sharedItems containsSemiMixedTypes="0" containsString="0" containsNumber="1" containsInteger="1" minValue="6" maxValue="19"/>
    </cacheField>
    <cacheField name="total_revenue" numFmtId="0">
      <sharedItems containsSemiMixedTypes="0" containsString="0" containsNumber="1" containsInteger="1" minValue="735" maxValue="5491"/>
    </cacheField>
    <cacheField name="avg_revenue" numFmtId="0">
      <sharedItems containsSemiMixedTypes="0" containsString="0" containsNumber="1" minValue="100" maxValue="3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s v="2026-01"/>
    <n v="6"/>
    <n v="735"/>
    <n v="122.5"/>
  </r>
  <r>
    <x v="0"/>
    <s v="2026-02"/>
    <n v="8"/>
    <n v="2440"/>
    <n v="305"/>
  </r>
  <r>
    <x v="0"/>
    <s v="2026-03"/>
    <n v="11"/>
    <n v="3090"/>
    <n v="280.90909090909099"/>
  </r>
  <r>
    <x v="0"/>
    <s v="2026-04"/>
    <n v="13"/>
    <n v="3115"/>
    <n v="239.61538461538501"/>
  </r>
  <r>
    <x v="0"/>
    <s v="2026-05"/>
    <n v="15"/>
    <n v="3695"/>
    <n v="246.333333333333"/>
  </r>
  <r>
    <x v="0"/>
    <s v="2026-06"/>
    <n v="14"/>
    <n v="2335"/>
    <n v="166.78571428571399"/>
  </r>
  <r>
    <x v="1"/>
    <s v="2026-01"/>
    <n v="9"/>
    <n v="2035"/>
    <n v="226.111111111111"/>
  </r>
  <r>
    <x v="1"/>
    <s v="2026-02"/>
    <n v="8"/>
    <n v="1935"/>
    <n v="241.875"/>
  </r>
  <r>
    <x v="1"/>
    <s v="2026-03"/>
    <n v="15"/>
    <n v="3163"/>
    <n v="210.86666666666699"/>
  </r>
  <r>
    <x v="1"/>
    <s v="2026-04"/>
    <n v="9"/>
    <n v="1650"/>
    <n v="183.333333333333"/>
  </r>
  <r>
    <x v="1"/>
    <s v="2026-05"/>
    <n v="14"/>
    <n v="3479"/>
    <n v="248.5"/>
  </r>
  <r>
    <x v="1"/>
    <s v="2026-06"/>
    <n v="11"/>
    <n v="1828"/>
    <n v="166.18181818181799"/>
  </r>
  <r>
    <x v="2"/>
    <s v="2026-01"/>
    <n v="12"/>
    <n v="1290"/>
    <n v="107.5"/>
  </r>
  <r>
    <x v="2"/>
    <s v="2026-02"/>
    <n v="13"/>
    <n v="2090"/>
    <n v="160.769230769231"/>
  </r>
  <r>
    <x v="2"/>
    <s v="2026-03"/>
    <n v="13"/>
    <n v="2080"/>
    <n v="160"/>
  </r>
  <r>
    <x v="2"/>
    <s v="2026-04"/>
    <n v="14"/>
    <n v="1400"/>
    <n v="100"/>
  </r>
  <r>
    <x v="2"/>
    <s v="2026-05"/>
    <n v="12"/>
    <n v="1870"/>
    <n v="155.833333333333"/>
  </r>
  <r>
    <x v="2"/>
    <s v="2026-06"/>
    <n v="9"/>
    <n v="1060"/>
    <n v="117.777777777778"/>
  </r>
  <r>
    <x v="3"/>
    <s v="2026-01"/>
    <n v="10"/>
    <n v="2099"/>
    <n v="209.9"/>
  </r>
  <r>
    <x v="3"/>
    <s v="2026-02"/>
    <n v="16"/>
    <n v="5113"/>
    <n v="319.5625"/>
  </r>
  <r>
    <x v="3"/>
    <s v="2026-03"/>
    <n v="8"/>
    <n v="1885"/>
    <n v="235.625"/>
  </r>
  <r>
    <x v="3"/>
    <s v="2026-04"/>
    <n v="17"/>
    <n v="5491"/>
    <n v="323"/>
  </r>
  <r>
    <x v="3"/>
    <s v="2026-05"/>
    <n v="16"/>
    <n v="3477"/>
    <n v="217.3125"/>
  </r>
  <r>
    <x v="3"/>
    <s v="2026-06"/>
    <n v="12"/>
    <n v="3650"/>
    <n v="304.16666666666703"/>
  </r>
  <r>
    <x v="4"/>
    <s v="2026-01"/>
    <n v="12"/>
    <n v="3608"/>
    <n v="300.66666666666703"/>
  </r>
  <r>
    <x v="4"/>
    <s v="2026-02"/>
    <n v="8"/>
    <n v="2177"/>
    <n v="272.125"/>
  </r>
  <r>
    <x v="4"/>
    <s v="2026-03"/>
    <n v="11"/>
    <n v="2807"/>
    <n v="255.18181818181799"/>
  </r>
  <r>
    <x v="4"/>
    <s v="2026-04"/>
    <n v="9"/>
    <n v="1970"/>
    <n v="218.888888888889"/>
  </r>
  <r>
    <x v="4"/>
    <s v="2026-05"/>
    <n v="13"/>
    <n v="3045"/>
    <n v="234.230769230769"/>
  </r>
  <r>
    <x v="4"/>
    <s v="2026-06"/>
    <n v="13"/>
    <n v="2775"/>
    <n v="213.461538461538"/>
  </r>
  <r>
    <x v="5"/>
    <s v="2026-01"/>
    <n v="10"/>
    <n v="1290"/>
    <n v="129"/>
  </r>
  <r>
    <x v="5"/>
    <s v="2026-02"/>
    <n v="11"/>
    <n v="1330"/>
    <n v="120.90909090909101"/>
  </r>
  <r>
    <x v="5"/>
    <s v="2026-03"/>
    <n v="15"/>
    <n v="1670"/>
    <n v="111.333333333333"/>
  </r>
  <r>
    <x v="5"/>
    <s v="2026-04"/>
    <n v="19"/>
    <n v="2980"/>
    <n v="156.842105263158"/>
  </r>
  <r>
    <x v="5"/>
    <s v="2026-05"/>
    <n v="13"/>
    <n v="1665"/>
    <n v="128.07692307692301"/>
  </r>
  <r>
    <x v="5"/>
    <s v="2026-06"/>
    <n v="15"/>
    <n v="1960"/>
    <n v="130.6666666666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79FC7-3A0B-46A9-A2D8-A1C7555D22A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8" firstHeaderRow="0" firstDataRow="1" firstDataCol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3" baseField="0" baseItem="0"/>
    <dataField name="Sum of order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463F6-4C40-4BA3-B886-20A5C46127A0}">
  <dimension ref="A1:E37"/>
  <sheetViews>
    <sheetView workbookViewId="0">
      <selection activeCell="G19" sqref="G19"/>
    </sheetView>
  </sheetViews>
  <sheetFormatPr defaultRowHeight="14.4" x14ac:dyDescent="0.3"/>
  <cols>
    <col min="1" max="5" width="8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6</v>
      </c>
      <c r="D2">
        <v>735</v>
      </c>
      <c r="E2">
        <v>122.5</v>
      </c>
    </row>
    <row r="3" spans="1:5" x14ac:dyDescent="0.3">
      <c r="A3" t="s">
        <v>5</v>
      </c>
      <c r="B3" t="s">
        <v>7</v>
      </c>
      <c r="C3">
        <v>8</v>
      </c>
      <c r="D3">
        <v>2440</v>
      </c>
      <c r="E3">
        <v>305</v>
      </c>
    </row>
    <row r="4" spans="1:5" x14ac:dyDescent="0.3">
      <c r="A4" t="s">
        <v>5</v>
      </c>
      <c r="B4" t="s">
        <v>8</v>
      </c>
      <c r="C4">
        <v>11</v>
      </c>
      <c r="D4">
        <v>3090</v>
      </c>
      <c r="E4">
        <v>280.90909090909099</v>
      </c>
    </row>
    <row r="5" spans="1:5" x14ac:dyDescent="0.3">
      <c r="A5" t="s">
        <v>5</v>
      </c>
      <c r="B5" t="s">
        <v>9</v>
      </c>
      <c r="C5">
        <v>13</v>
      </c>
      <c r="D5">
        <v>3115</v>
      </c>
      <c r="E5">
        <v>239.61538461538501</v>
      </c>
    </row>
    <row r="6" spans="1:5" x14ac:dyDescent="0.3">
      <c r="A6" t="s">
        <v>5</v>
      </c>
      <c r="B6" t="s">
        <v>10</v>
      </c>
      <c r="C6">
        <v>15</v>
      </c>
      <c r="D6">
        <v>3695</v>
      </c>
      <c r="E6">
        <v>246.333333333333</v>
      </c>
    </row>
    <row r="7" spans="1:5" x14ac:dyDescent="0.3">
      <c r="A7" t="s">
        <v>5</v>
      </c>
      <c r="B7" t="s">
        <v>11</v>
      </c>
      <c r="C7">
        <v>14</v>
      </c>
      <c r="D7">
        <v>2335</v>
      </c>
      <c r="E7">
        <v>166.78571428571399</v>
      </c>
    </row>
    <row r="8" spans="1:5" x14ac:dyDescent="0.3">
      <c r="A8" t="s">
        <v>12</v>
      </c>
      <c r="B8" t="s">
        <v>6</v>
      </c>
      <c r="C8">
        <v>9</v>
      </c>
      <c r="D8">
        <v>2035</v>
      </c>
      <c r="E8">
        <v>226.111111111111</v>
      </c>
    </row>
    <row r="9" spans="1:5" x14ac:dyDescent="0.3">
      <c r="A9" t="s">
        <v>12</v>
      </c>
      <c r="B9" t="s">
        <v>7</v>
      </c>
      <c r="C9">
        <v>8</v>
      </c>
      <c r="D9">
        <v>1935</v>
      </c>
      <c r="E9">
        <v>241.875</v>
      </c>
    </row>
    <row r="10" spans="1:5" x14ac:dyDescent="0.3">
      <c r="A10" t="s">
        <v>12</v>
      </c>
      <c r="B10" t="s">
        <v>8</v>
      </c>
      <c r="C10">
        <v>15</v>
      </c>
      <c r="D10">
        <v>3163</v>
      </c>
      <c r="E10">
        <v>210.86666666666699</v>
      </c>
    </row>
    <row r="11" spans="1:5" x14ac:dyDescent="0.3">
      <c r="A11" t="s">
        <v>12</v>
      </c>
      <c r="B11" t="s">
        <v>9</v>
      </c>
      <c r="C11">
        <v>9</v>
      </c>
      <c r="D11">
        <v>1650</v>
      </c>
      <c r="E11">
        <v>183.333333333333</v>
      </c>
    </row>
    <row r="12" spans="1:5" x14ac:dyDescent="0.3">
      <c r="A12" t="s">
        <v>12</v>
      </c>
      <c r="B12" t="s">
        <v>10</v>
      </c>
      <c r="C12">
        <v>14</v>
      </c>
      <c r="D12">
        <v>3479</v>
      </c>
      <c r="E12">
        <v>248.5</v>
      </c>
    </row>
    <row r="13" spans="1:5" x14ac:dyDescent="0.3">
      <c r="A13" t="s">
        <v>12</v>
      </c>
      <c r="B13" t="s">
        <v>11</v>
      </c>
      <c r="C13">
        <v>11</v>
      </c>
      <c r="D13">
        <v>1828</v>
      </c>
      <c r="E13">
        <v>166.18181818181799</v>
      </c>
    </row>
    <row r="14" spans="1:5" x14ac:dyDescent="0.3">
      <c r="A14" t="s">
        <v>13</v>
      </c>
      <c r="B14" t="s">
        <v>6</v>
      </c>
      <c r="C14">
        <v>12</v>
      </c>
      <c r="D14">
        <v>1290</v>
      </c>
      <c r="E14">
        <v>107.5</v>
      </c>
    </row>
    <row r="15" spans="1:5" x14ac:dyDescent="0.3">
      <c r="A15" t="s">
        <v>13</v>
      </c>
      <c r="B15" t="s">
        <v>7</v>
      </c>
      <c r="C15">
        <v>13</v>
      </c>
      <c r="D15">
        <v>2090</v>
      </c>
      <c r="E15">
        <v>160.769230769231</v>
      </c>
    </row>
    <row r="16" spans="1:5" x14ac:dyDescent="0.3">
      <c r="A16" t="s">
        <v>13</v>
      </c>
      <c r="B16" t="s">
        <v>8</v>
      </c>
      <c r="C16">
        <v>13</v>
      </c>
      <c r="D16">
        <v>2080</v>
      </c>
      <c r="E16">
        <v>160</v>
      </c>
    </row>
    <row r="17" spans="1:5" x14ac:dyDescent="0.3">
      <c r="A17" t="s">
        <v>13</v>
      </c>
      <c r="B17" t="s">
        <v>9</v>
      </c>
      <c r="C17">
        <v>14</v>
      </c>
      <c r="D17">
        <v>1400</v>
      </c>
      <c r="E17">
        <v>100</v>
      </c>
    </row>
    <row r="18" spans="1:5" x14ac:dyDescent="0.3">
      <c r="A18" t="s">
        <v>13</v>
      </c>
      <c r="B18" t="s">
        <v>10</v>
      </c>
      <c r="C18">
        <v>12</v>
      </c>
      <c r="D18">
        <v>1870</v>
      </c>
      <c r="E18">
        <v>155.833333333333</v>
      </c>
    </row>
    <row r="19" spans="1:5" x14ac:dyDescent="0.3">
      <c r="A19" t="s">
        <v>13</v>
      </c>
      <c r="B19" t="s">
        <v>11</v>
      </c>
      <c r="C19">
        <v>9</v>
      </c>
      <c r="D19">
        <v>1060</v>
      </c>
      <c r="E19">
        <v>117.777777777778</v>
      </c>
    </row>
    <row r="20" spans="1:5" x14ac:dyDescent="0.3">
      <c r="A20" t="s">
        <v>14</v>
      </c>
      <c r="B20" t="s">
        <v>6</v>
      </c>
      <c r="C20">
        <v>10</v>
      </c>
      <c r="D20">
        <v>2099</v>
      </c>
      <c r="E20">
        <v>209.9</v>
      </c>
    </row>
    <row r="21" spans="1:5" x14ac:dyDescent="0.3">
      <c r="A21" t="s">
        <v>14</v>
      </c>
      <c r="B21" t="s">
        <v>7</v>
      </c>
      <c r="C21">
        <v>16</v>
      </c>
      <c r="D21">
        <v>5113</v>
      </c>
      <c r="E21">
        <v>319.5625</v>
      </c>
    </row>
    <row r="22" spans="1:5" x14ac:dyDescent="0.3">
      <c r="A22" t="s">
        <v>14</v>
      </c>
      <c r="B22" t="s">
        <v>8</v>
      </c>
      <c r="C22">
        <v>8</v>
      </c>
      <c r="D22">
        <v>1885</v>
      </c>
      <c r="E22">
        <v>235.625</v>
      </c>
    </row>
    <row r="23" spans="1:5" x14ac:dyDescent="0.3">
      <c r="A23" t="s">
        <v>14</v>
      </c>
      <c r="B23" t="s">
        <v>9</v>
      </c>
      <c r="C23">
        <v>17</v>
      </c>
      <c r="D23">
        <v>5491</v>
      </c>
      <c r="E23">
        <v>323</v>
      </c>
    </row>
    <row r="24" spans="1:5" x14ac:dyDescent="0.3">
      <c r="A24" t="s">
        <v>14</v>
      </c>
      <c r="B24" t="s">
        <v>10</v>
      </c>
      <c r="C24">
        <v>16</v>
      </c>
      <c r="D24">
        <v>3477</v>
      </c>
      <c r="E24">
        <v>217.3125</v>
      </c>
    </row>
    <row r="25" spans="1:5" x14ac:dyDescent="0.3">
      <c r="A25" t="s">
        <v>14</v>
      </c>
      <c r="B25" t="s">
        <v>11</v>
      </c>
      <c r="C25">
        <v>12</v>
      </c>
      <c r="D25">
        <v>3650</v>
      </c>
      <c r="E25">
        <v>304.16666666666703</v>
      </c>
    </row>
    <row r="26" spans="1:5" x14ac:dyDescent="0.3">
      <c r="A26" t="s">
        <v>15</v>
      </c>
      <c r="B26" t="s">
        <v>6</v>
      </c>
      <c r="C26">
        <v>12</v>
      </c>
      <c r="D26">
        <v>3608</v>
      </c>
      <c r="E26">
        <v>300.66666666666703</v>
      </c>
    </row>
    <row r="27" spans="1:5" x14ac:dyDescent="0.3">
      <c r="A27" t="s">
        <v>15</v>
      </c>
      <c r="B27" t="s">
        <v>7</v>
      </c>
      <c r="C27">
        <v>8</v>
      </c>
      <c r="D27">
        <v>2177</v>
      </c>
      <c r="E27">
        <v>272.125</v>
      </c>
    </row>
    <row r="28" spans="1:5" x14ac:dyDescent="0.3">
      <c r="A28" t="s">
        <v>15</v>
      </c>
      <c r="B28" t="s">
        <v>8</v>
      </c>
      <c r="C28">
        <v>11</v>
      </c>
      <c r="D28">
        <v>2807</v>
      </c>
      <c r="E28">
        <v>255.18181818181799</v>
      </c>
    </row>
    <row r="29" spans="1:5" x14ac:dyDescent="0.3">
      <c r="A29" t="s">
        <v>15</v>
      </c>
      <c r="B29" t="s">
        <v>9</v>
      </c>
      <c r="C29">
        <v>9</v>
      </c>
      <c r="D29">
        <v>1970</v>
      </c>
      <c r="E29">
        <v>218.888888888889</v>
      </c>
    </row>
    <row r="30" spans="1:5" x14ac:dyDescent="0.3">
      <c r="A30" t="s">
        <v>15</v>
      </c>
      <c r="B30" t="s">
        <v>10</v>
      </c>
      <c r="C30">
        <v>13</v>
      </c>
      <c r="D30">
        <v>3045</v>
      </c>
      <c r="E30">
        <v>234.230769230769</v>
      </c>
    </row>
    <row r="31" spans="1:5" x14ac:dyDescent="0.3">
      <c r="A31" t="s">
        <v>15</v>
      </c>
      <c r="B31" t="s">
        <v>11</v>
      </c>
      <c r="C31">
        <v>13</v>
      </c>
      <c r="D31">
        <v>2775</v>
      </c>
      <c r="E31">
        <v>213.461538461538</v>
      </c>
    </row>
    <row r="32" spans="1:5" x14ac:dyDescent="0.3">
      <c r="A32" t="s">
        <v>16</v>
      </c>
      <c r="B32" t="s">
        <v>6</v>
      </c>
      <c r="C32">
        <v>10</v>
      </c>
      <c r="D32">
        <v>1290</v>
      </c>
      <c r="E32">
        <v>129</v>
      </c>
    </row>
    <row r="33" spans="1:5" x14ac:dyDescent="0.3">
      <c r="A33" t="s">
        <v>16</v>
      </c>
      <c r="B33" t="s">
        <v>7</v>
      </c>
      <c r="C33">
        <v>11</v>
      </c>
      <c r="D33">
        <v>1330</v>
      </c>
      <c r="E33">
        <v>120.90909090909101</v>
      </c>
    </row>
    <row r="34" spans="1:5" x14ac:dyDescent="0.3">
      <c r="A34" t="s">
        <v>16</v>
      </c>
      <c r="B34" t="s">
        <v>8</v>
      </c>
      <c r="C34">
        <v>15</v>
      </c>
      <c r="D34">
        <v>1670</v>
      </c>
      <c r="E34">
        <v>111.333333333333</v>
      </c>
    </row>
    <row r="35" spans="1:5" x14ac:dyDescent="0.3">
      <c r="A35" t="s">
        <v>16</v>
      </c>
      <c r="B35" t="s">
        <v>9</v>
      </c>
      <c r="C35">
        <v>19</v>
      </c>
      <c r="D35">
        <v>2980</v>
      </c>
      <c r="E35">
        <v>156.842105263158</v>
      </c>
    </row>
    <row r="36" spans="1:5" x14ac:dyDescent="0.3">
      <c r="A36" t="s">
        <v>16</v>
      </c>
      <c r="B36" t="s">
        <v>10</v>
      </c>
      <c r="C36">
        <v>13</v>
      </c>
      <c r="D36">
        <v>1665</v>
      </c>
      <c r="E36">
        <v>128.07692307692301</v>
      </c>
    </row>
    <row r="37" spans="1:5" x14ac:dyDescent="0.3">
      <c r="A37" t="s">
        <v>16</v>
      </c>
      <c r="B37" t="s">
        <v>11</v>
      </c>
      <c r="C37">
        <v>15</v>
      </c>
      <c r="D37">
        <v>1960</v>
      </c>
      <c r="E37">
        <v>130.666666666667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4FA4-29E8-477E-AA92-301C9D7800B9}">
  <dimension ref="A1:C8"/>
  <sheetViews>
    <sheetView workbookViewId="0">
      <selection activeCell="C13" sqref="C13"/>
    </sheetView>
  </sheetViews>
  <sheetFormatPr defaultRowHeight="14.4" x14ac:dyDescent="0.3"/>
  <cols>
    <col min="1" max="1" width="18.44140625" customWidth="1"/>
    <col min="2" max="2" width="24.77734375" customWidth="1"/>
    <col min="3" max="3" width="18.5546875" customWidth="1"/>
  </cols>
  <sheetData>
    <row r="1" spans="1:3" x14ac:dyDescent="0.3">
      <c r="A1" s="1" t="s">
        <v>0</v>
      </c>
      <c r="B1" s="3" t="s">
        <v>17</v>
      </c>
      <c r="C1" s="1" t="s">
        <v>33</v>
      </c>
    </row>
    <row r="2" spans="1:3" x14ac:dyDescent="0.3">
      <c r="A2" s="4" t="s">
        <v>13</v>
      </c>
      <c r="B2" s="2">
        <v>12000</v>
      </c>
      <c r="C2" s="4" t="s">
        <v>13</v>
      </c>
    </row>
    <row r="3" spans="1:3" x14ac:dyDescent="0.3">
      <c r="A3" s="4" t="s">
        <v>12</v>
      </c>
      <c r="B3" s="2">
        <v>16500</v>
      </c>
      <c r="C3" s="4" t="s">
        <v>12</v>
      </c>
    </row>
    <row r="4" spans="1:3" x14ac:dyDescent="0.3">
      <c r="A4" s="4" t="s">
        <v>16</v>
      </c>
      <c r="B4" s="2">
        <v>13000</v>
      </c>
      <c r="C4" s="4" t="s">
        <v>16</v>
      </c>
    </row>
    <row r="5" spans="1:3" x14ac:dyDescent="0.3">
      <c r="A5" s="4" t="s">
        <v>15</v>
      </c>
      <c r="B5" s="2">
        <v>15500</v>
      </c>
      <c r="C5" s="4" t="s">
        <v>15</v>
      </c>
    </row>
    <row r="6" spans="1:3" x14ac:dyDescent="0.3">
      <c r="A6" s="4" t="s">
        <v>14</v>
      </c>
      <c r="B6" s="2">
        <v>17000</v>
      </c>
      <c r="C6" s="4" t="s">
        <v>14</v>
      </c>
    </row>
    <row r="7" spans="1:3" x14ac:dyDescent="0.3">
      <c r="A7" s="4" t="s">
        <v>5</v>
      </c>
      <c r="B7" s="2">
        <v>12000</v>
      </c>
      <c r="C7" s="4" t="s">
        <v>34</v>
      </c>
    </row>
    <row r="8" spans="1:3" x14ac:dyDescent="0.3">
      <c r="A8" s="4"/>
      <c r="B8" s="2"/>
      <c r="C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D217-38C3-4D69-A17C-1B2F5238026F}">
  <dimension ref="A1:C8"/>
  <sheetViews>
    <sheetView workbookViewId="0">
      <selection activeCell="H22" sqref="H22"/>
    </sheetView>
  </sheetViews>
  <sheetFormatPr defaultRowHeight="14.4" x14ac:dyDescent="0.3"/>
  <cols>
    <col min="1" max="1" width="18.21875" bestFit="1" customWidth="1"/>
    <col min="2" max="2" width="19.44140625" bestFit="1" customWidth="1"/>
    <col min="3" max="3" width="18.109375" bestFit="1" customWidth="1"/>
  </cols>
  <sheetData>
    <row r="1" spans="1:3" x14ac:dyDescent="0.3">
      <c r="A1" s="5" t="s">
        <v>18</v>
      </c>
      <c r="B1" t="s">
        <v>20</v>
      </c>
      <c r="C1" t="s">
        <v>21</v>
      </c>
    </row>
    <row r="2" spans="1:3" x14ac:dyDescent="0.3">
      <c r="A2" s="6" t="s">
        <v>5</v>
      </c>
      <c r="B2" s="7">
        <v>15410</v>
      </c>
      <c r="C2" s="7">
        <v>67</v>
      </c>
    </row>
    <row r="3" spans="1:3" x14ac:dyDescent="0.3">
      <c r="A3" s="6" t="s">
        <v>12</v>
      </c>
      <c r="B3" s="7">
        <v>14090</v>
      </c>
      <c r="C3" s="7">
        <v>66</v>
      </c>
    </row>
    <row r="4" spans="1:3" x14ac:dyDescent="0.3">
      <c r="A4" s="6" t="s">
        <v>13</v>
      </c>
      <c r="B4" s="7">
        <v>9790</v>
      </c>
      <c r="C4" s="7">
        <v>73</v>
      </c>
    </row>
    <row r="5" spans="1:3" x14ac:dyDescent="0.3">
      <c r="A5" s="6" t="s">
        <v>14</v>
      </c>
      <c r="B5" s="7">
        <v>21715</v>
      </c>
      <c r="C5" s="7">
        <v>79</v>
      </c>
    </row>
    <row r="6" spans="1:3" x14ac:dyDescent="0.3">
      <c r="A6" s="6" t="s">
        <v>15</v>
      </c>
      <c r="B6" s="7">
        <v>16382</v>
      </c>
      <c r="C6" s="7">
        <v>66</v>
      </c>
    </row>
    <row r="7" spans="1:3" x14ac:dyDescent="0.3">
      <c r="A7" s="6" t="s">
        <v>16</v>
      </c>
      <c r="B7" s="7">
        <v>10895</v>
      </c>
      <c r="C7" s="7">
        <v>83</v>
      </c>
    </row>
    <row r="8" spans="1:3" x14ac:dyDescent="0.3">
      <c r="A8" s="6" t="s">
        <v>19</v>
      </c>
      <c r="B8" s="7">
        <v>88282</v>
      </c>
      <c r="C8" s="7">
        <v>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CB7D-D010-453C-A095-A09204870F21}">
  <dimension ref="A1:G7"/>
  <sheetViews>
    <sheetView tabSelected="1" workbookViewId="0">
      <selection activeCell="E16" sqref="E16"/>
    </sheetView>
  </sheetViews>
  <sheetFormatPr defaultRowHeight="14.4" x14ac:dyDescent="0.3"/>
  <cols>
    <col min="1" max="1" width="19.6640625" customWidth="1"/>
    <col min="2" max="2" width="12.6640625" bestFit="1" customWidth="1"/>
    <col min="3" max="3" width="14.88671875" customWidth="1"/>
    <col min="5" max="5" width="12.6640625" customWidth="1"/>
    <col min="6" max="6" width="20.44140625" customWidth="1"/>
    <col min="7" max="7" width="23.109375" customWidth="1"/>
  </cols>
  <sheetData>
    <row r="1" spans="1:7" x14ac:dyDescent="0.3">
      <c r="A1" t="s">
        <v>22</v>
      </c>
      <c r="B1" t="s">
        <v>23</v>
      </c>
      <c r="C1" t="s">
        <v>24</v>
      </c>
      <c r="D1" t="s">
        <v>25</v>
      </c>
      <c r="E1" t="s">
        <v>27</v>
      </c>
      <c r="F1" t="s">
        <v>28</v>
      </c>
      <c r="G1" t="s">
        <v>26</v>
      </c>
    </row>
    <row r="2" spans="1:7" x14ac:dyDescent="0.3">
      <c r="A2" t="s">
        <v>5</v>
      </c>
      <c r="B2">
        <f>'pivot table'!B2</f>
        <v>15410</v>
      </c>
      <c r="C2" cm="1">
        <f t="array" ref="C2">_xlfn.XLOOKUP(TRUE,ISNUMBER(SEARCH(TRIM(A2),Targets!$C$2:$C$7)),Targets!$B$2:$B$7,"Not Found")</f>
        <v>12000</v>
      </c>
      <c r="D2">
        <f>B2-C2</f>
        <v>3410</v>
      </c>
      <c r="E2" s="8">
        <f>((B2-C2)/C2)*100</f>
        <v>28.416666666666668</v>
      </c>
      <c r="F2" t="str">
        <f>IF(B2&gt;=C2,"Above Target",IF(C2-B2&lt;=C2*15%,"Below Target - Watch","Below Target - Critical"))</f>
        <v>Above Target</v>
      </c>
      <c r="G2" t="str">
        <f>IF(B2=SUMIF('pivot table'!$A$2:$A$7,"*"&amp;TRIM(A2)&amp;"*",'pivot table'!$B$2:$B$7),"Yes","No")</f>
        <v>Yes</v>
      </c>
    </row>
    <row r="3" spans="1:7" x14ac:dyDescent="0.3">
      <c r="A3" t="s">
        <v>12</v>
      </c>
      <c r="B3">
        <f>'pivot table'!B3</f>
        <v>14090</v>
      </c>
      <c r="C3" cm="1">
        <f t="array" ref="C3">_xlfn.XLOOKUP(TRUE,ISNUMBER(SEARCH(TRIM(A3),Targets!$C$2:$C$7)),Targets!$B$2:$B$7,"Not Found")</f>
        <v>16500</v>
      </c>
      <c r="D3">
        <f t="shared" ref="D3:D7" si="0">B3-C3</f>
        <v>-2410</v>
      </c>
      <c r="E3" s="8">
        <f t="shared" ref="E3:E7" si="1">((B3-C3)/C3)*100</f>
        <v>-14.606060606060606</v>
      </c>
      <c r="F3" t="str">
        <f t="shared" ref="F3:F7" si="2">IF(B3&gt;=C3,"Above Target",IF(C3-B3&lt;=C3*15%,"Below Target - Watch","Below Target - Critical"))</f>
        <v>Below Target - Watch</v>
      </c>
      <c r="G3" t="str">
        <f>IF(B3=SUMIF('pivot table'!$A$2:$A$7,"*"&amp;TRIM(A3)&amp;"*",'pivot table'!$B$2:$B$7),"Yes","No")</f>
        <v>Yes</v>
      </c>
    </row>
    <row r="4" spans="1:7" x14ac:dyDescent="0.3">
      <c r="A4" t="s">
        <v>29</v>
      </c>
      <c r="B4">
        <f>'pivot table'!B4</f>
        <v>9790</v>
      </c>
      <c r="C4" cm="1">
        <f t="array" ref="C4">_xlfn.XLOOKUP(TRUE,ISNUMBER(SEARCH(TRIM(A4),Targets!$C$2:$C$7)),Targets!$B$2:$B$7,"Not Found")</f>
        <v>12000</v>
      </c>
      <c r="D4">
        <f t="shared" si="0"/>
        <v>-2210</v>
      </c>
      <c r="E4" s="8">
        <f t="shared" si="1"/>
        <v>-18.416666666666668</v>
      </c>
      <c r="F4" t="str">
        <f t="shared" si="2"/>
        <v>Below Target - Critical</v>
      </c>
      <c r="G4" t="str">
        <f>IF(B4=SUMIF('pivot table'!$A$2:$A$7,"*"&amp;TRIM(A4)&amp;"*",'pivot table'!$B$2:$B$7),"Yes","No")</f>
        <v>Yes</v>
      </c>
    </row>
    <row r="5" spans="1:7" x14ac:dyDescent="0.3">
      <c r="A5" t="s">
        <v>30</v>
      </c>
      <c r="B5">
        <f>'pivot table'!B5</f>
        <v>21715</v>
      </c>
      <c r="C5" cm="1">
        <f t="array" ref="C5">_xlfn.XLOOKUP(TRUE,ISNUMBER(SEARCH(TRIM(A5),Targets!$C$2:$C$7)),Targets!$B$2:$B$7,"Not Found")</f>
        <v>17000</v>
      </c>
      <c r="D5">
        <f t="shared" si="0"/>
        <v>4715</v>
      </c>
      <c r="E5" s="8">
        <f t="shared" si="1"/>
        <v>27.735294117647058</v>
      </c>
      <c r="F5" t="str">
        <f t="shared" si="2"/>
        <v>Above Target</v>
      </c>
      <c r="G5" t="str">
        <f>IF(B5=SUMIF('pivot table'!$A$2:$A$7,"*"&amp;TRIM(A5)&amp;"*",'pivot table'!$B$2:$B$7),"Yes","No")</f>
        <v>Yes</v>
      </c>
    </row>
    <row r="6" spans="1:7" x14ac:dyDescent="0.3">
      <c r="A6" t="s">
        <v>31</v>
      </c>
      <c r="B6">
        <f>'pivot table'!B6</f>
        <v>16382</v>
      </c>
      <c r="C6" cm="1">
        <f t="array" ref="C6">_xlfn.XLOOKUP(TRUE,ISNUMBER(SEARCH(TRIM(A6),Targets!$C$2:$C$7)),Targets!$B$2:$B$7,"Not Found")</f>
        <v>15500</v>
      </c>
      <c r="D6">
        <f t="shared" si="0"/>
        <v>882</v>
      </c>
      <c r="E6" s="8">
        <f t="shared" si="1"/>
        <v>5.6903225806451614</v>
      </c>
      <c r="F6" t="str">
        <f t="shared" si="2"/>
        <v>Above Target</v>
      </c>
      <c r="G6" t="str">
        <f>IF(B6=SUMIF('pivot table'!$A$2:$A$7,"*"&amp;TRIM(A6)&amp;"*",'pivot table'!$B$2:$B$7),"Yes","No")</f>
        <v>Yes</v>
      </c>
    </row>
    <row r="7" spans="1:7" x14ac:dyDescent="0.3">
      <c r="A7" t="s">
        <v>32</v>
      </c>
      <c r="B7">
        <f>'pivot table'!B7</f>
        <v>10895</v>
      </c>
      <c r="C7" cm="1">
        <f t="array" ref="C7">_xlfn.XLOOKUP(TRUE,ISNUMBER(SEARCH(TRIM(A7),Targets!$C$2:$C$7)),Targets!$B$2:$B$7,"Not Found")</f>
        <v>13000</v>
      </c>
      <c r="D7">
        <f t="shared" si="0"/>
        <v>-2105</v>
      </c>
      <c r="E7" s="8">
        <f t="shared" si="1"/>
        <v>-16.192307692307693</v>
      </c>
      <c r="F7" t="str">
        <f t="shared" si="2"/>
        <v>Below Target - Critical</v>
      </c>
      <c r="G7" t="str">
        <f>IF(B7=SUMIF('pivot table'!$A$2:$A$7,"*"&amp;TRIM(A7)&amp;"*",'pivot table'!$B$2:$B$7),"Yes","No")</f>
        <v>Yes</v>
      </c>
    </row>
  </sheetData>
  <conditionalFormatting sqref="F2:F7">
    <cfRule type="containsText" dxfId="0" priority="3" operator="containsText" text="above target">
      <formula>NOT(ISERROR(SEARCH("above target",F2)))</formula>
    </cfRule>
    <cfRule type="containsText" dxfId="1" priority="2" operator="containsText" text="watch">
      <formula>NOT(ISERROR(SEARCH("watch",F2)))</formula>
    </cfRule>
    <cfRule type="containsText" dxfId="2" priority="1" operator="containsText" text="crit">
      <formula>NOT(ISERROR(SEARCH("crit",F2)))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data</vt:lpstr>
      <vt:lpstr>Targets</vt:lpstr>
      <vt:lpstr>pivot table</vt:lpstr>
      <vt:lpstr>bigbasket_category_analysis.xls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 .</dc:creator>
  <cp:lastModifiedBy>Sanju .</cp:lastModifiedBy>
  <dcterms:created xsi:type="dcterms:W3CDTF">2026-09-15T12:21:43Z</dcterms:created>
  <dcterms:modified xsi:type="dcterms:W3CDTF">2026-09-15T12:25:32Z</dcterms:modified>
</cp:coreProperties>
</file>